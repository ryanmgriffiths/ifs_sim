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phys2737_ox_ac_uk/Documents/"/>
    </mc:Choice>
  </mc:AlternateContent>
  <xr:revisionPtr revIDLastSave="0" documentId="8_{19A502C1-15CB-4F88-B2F9-6385301BA773}" xr6:coauthVersionLast="47" xr6:coauthVersionMax="47" xr10:uidLastSave="{00000000-0000-0000-0000-000000000000}"/>
  <bookViews>
    <workbookView xWindow="-27420" yWindow="1980" windowWidth="21600" windowHeight="12645" xr2:uid="{870DC831-F574-485E-939F-51FCBA725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6" i="1" l="1"/>
  <c r="C46" i="1"/>
  <c r="G46" i="1" s="1"/>
  <c r="B46" i="1"/>
  <c r="F45" i="1"/>
  <c r="B45" i="1"/>
  <c r="C45" i="1" s="1"/>
  <c r="G45" i="1" s="1"/>
  <c r="F44" i="1"/>
  <c r="C44" i="1"/>
  <c r="G44" i="1" s="1"/>
  <c r="B44" i="1"/>
  <c r="F43" i="1"/>
  <c r="B43" i="1"/>
  <c r="C43" i="1" s="1"/>
  <c r="G43" i="1" s="1"/>
  <c r="F42" i="1"/>
  <c r="C42" i="1"/>
  <c r="G42" i="1" s="1"/>
  <c r="B42" i="1"/>
  <c r="F41" i="1"/>
  <c r="B41" i="1"/>
  <c r="C41" i="1" s="1"/>
  <c r="G41" i="1" s="1"/>
  <c r="F40" i="1"/>
  <c r="C40" i="1"/>
  <c r="G40" i="1" s="1"/>
  <c r="B40" i="1"/>
  <c r="F39" i="1"/>
  <c r="B39" i="1"/>
  <c r="C39" i="1" s="1"/>
  <c r="G39" i="1" s="1"/>
  <c r="F38" i="1"/>
  <c r="C38" i="1"/>
  <c r="G38" i="1" s="1"/>
  <c r="B38" i="1"/>
  <c r="F37" i="1"/>
  <c r="B37" i="1"/>
  <c r="C37" i="1" s="1"/>
  <c r="G37" i="1" s="1"/>
  <c r="F36" i="1"/>
  <c r="C36" i="1"/>
  <c r="G36" i="1" s="1"/>
  <c r="B36" i="1"/>
  <c r="F35" i="1"/>
  <c r="B35" i="1"/>
  <c r="C35" i="1" s="1"/>
  <c r="G35" i="1" s="1"/>
  <c r="F34" i="1"/>
  <c r="C34" i="1"/>
  <c r="G34" i="1" s="1"/>
  <c r="B34" i="1"/>
  <c r="F33" i="1"/>
  <c r="B33" i="1"/>
  <c r="C33" i="1" s="1"/>
  <c r="G33" i="1" s="1"/>
  <c r="F32" i="1"/>
  <c r="C32" i="1"/>
  <c r="G32" i="1" s="1"/>
  <c r="B32" i="1"/>
  <c r="F31" i="1"/>
  <c r="B31" i="1"/>
  <c r="C31" i="1" s="1"/>
  <c r="G31" i="1" s="1"/>
  <c r="F30" i="1"/>
  <c r="C30" i="1"/>
  <c r="G30" i="1" s="1"/>
  <c r="B30" i="1"/>
  <c r="F29" i="1"/>
  <c r="B29" i="1"/>
  <c r="C29" i="1" s="1"/>
  <c r="G29" i="1" s="1"/>
  <c r="F28" i="1"/>
  <c r="C28" i="1"/>
  <c r="G28" i="1" s="1"/>
  <c r="B28" i="1"/>
  <c r="F27" i="1"/>
  <c r="B27" i="1"/>
  <c r="C27" i="1" s="1"/>
  <c r="G27" i="1" s="1"/>
  <c r="F26" i="1"/>
  <c r="C26" i="1"/>
  <c r="G26" i="1" s="1"/>
  <c r="B26" i="1"/>
  <c r="F25" i="1"/>
  <c r="B25" i="1"/>
  <c r="C25" i="1" s="1"/>
  <c r="G25" i="1" s="1"/>
  <c r="F24" i="1"/>
  <c r="C24" i="1"/>
  <c r="G24" i="1" s="1"/>
  <c r="B24" i="1"/>
  <c r="F23" i="1"/>
  <c r="B23" i="1"/>
  <c r="C23" i="1" s="1"/>
  <c r="G23" i="1" s="1"/>
  <c r="F22" i="1"/>
  <c r="C22" i="1"/>
  <c r="G22" i="1" s="1"/>
  <c r="B22" i="1"/>
  <c r="F21" i="1"/>
  <c r="B21" i="1"/>
  <c r="C21" i="1" s="1"/>
  <c r="G21" i="1" s="1"/>
  <c r="F20" i="1"/>
  <c r="C20" i="1"/>
  <c r="G20" i="1" s="1"/>
  <c r="B20" i="1"/>
  <c r="F19" i="1"/>
  <c r="B19" i="1"/>
  <c r="C19" i="1" s="1"/>
  <c r="G19" i="1" s="1"/>
  <c r="F18" i="1"/>
  <c r="C18" i="1"/>
  <c r="G18" i="1" s="1"/>
  <c r="B18" i="1"/>
  <c r="F17" i="1"/>
  <c r="B17" i="1"/>
  <c r="C17" i="1" s="1"/>
  <c r="G17" i="1" s="1"/>
  <c r="F16" i="1"/>
  <c r="C16" i="1"/>
  <c r="G16" i="1" s="1"/>
  <c r="B16" i="1"/>
  <c r="F15" i="1"/>
  <c r="B15" i="1"/>
  <c r="C15" i="1" s="1"/>
  <c r="G15" i="1" s="1"/>
  <c r="F14" i="1"/>
  <c r="C14" i="1"/>
  <c r="G14" i="1" s="1"/>
  <c r="B14" i="1"/>
  <c r="F13" i="1"/>
  <c r="B13" i="1"/>
  <c r="C13" i="1" s="1"/>
  <c r="G13" i="1" s="1"/>
  <c r="F12" i="1"/>
  <c r="C12" i="1"/>
  <c r="G12" i="1" s="1"/>
  <c r="B12" i="1"/>
  <c r="F11" i="1"/>
  <c r="B11" i="1"/>
  <c r="C11" i="1" s="1"/>
  <c r="G11" i="1" s="1"/>
  <c r="F10" i="1"/>
  <c r="C10" i="1"/>
  <c r="G10" i="1" s="1"/>
  <c r="B10" i="1"/>
  <c r="F9" i="1"/>
  <c r="B9" i="1"/>
  <c r="C9" i="1" s="1"/>
  <c r="G9" i="1" s="1"/>
  <c r="F8" i="1"/>
  <c r="C8" i="1"/>
  <c r="G8" i="1" s="1"/>
  <c r="B8" i="1"/>
  <c r="F7" i="1"/>
  <c r="B7" i="1"/>
  <c r="C7" i="1" s="1"/>
  <c r="G7" i="1" s="1"/>
  <c r="F6" i="1"/>
  <c r="C6" i="1"/>
  <c r="G6" i="1" s="1"/>
  <c r="B6" i="1"/>
  <c r="F5" i="1"/>
  <c r="B5" i="1"/>
  <c r="C5" i="1" s="1"/>
  <c r="G5" i="1" s="1"/>
  <c r="F4" i="1"/>
  <c r="C4" i="1"/>
  <c r="G4" i="1" s="1"/>
  <c r="B4" i="1"/>
  <c r="F3" i="1"/>
  <c r="B3" i="1"/>
  <c r="C3" i="1" s="1"/>
  <c r="G3" i="1" s="1"/>
  <c r="F2" i="1"/>
  <c r="C2" i="1"/>
  <c r="G2" i="1" s="1"/>
  <c r="B2" i="1"/>
  <c r="F54" i="1"/>
  <c r="B54" i="1"/>
  <c r="C54" i="1" s="1"/>
  <c r="G54" i="1" s="1"/>
  <c r="F53" i="1"/>
  <c r="B53" i="1"/>
  <c r="C53" i="1" s="1"/>
  <c r="G53" i="1" s="1"/>
  <c r="F52" i="1"/>
  <c r="B52" i="1"/>
  <c r="C52" i="1" s="1"/>
  <c r="G52" i="1" s="1"/>
  <c r="F51" i="1"/>
  <c r="B51" i="1"/>
  <c r="C51" i="1" s="1"/>
  <c r="G51" i="1" s="1"/>
  <c r="F50" i="1"/>
  <c r="B50" i="1"/>
  <c r="C50" i="1" s="1"/>
  <c r="G50" i="1" s="1"/>
  <c r="F49" i="1"/>
  <c r="B49" i="1"/>
  <c r="C49" i="1" s="1"/>
  <c r="G49" i="1" s="1"/>
  <c r="F48" i="1"/>
  <c r="B48" i="1"/>
  <c r="C48" i="1" s="1"/>
  <c r="G48" i="1" s="1"/>
  <c r="F47" i="1"/>
  <c r="B47" i="1"/>
  <c r="C47" i="1" s="1"/>
  <c r="G47" i="1" s="1"/>
</calcChain>
</file>

<file path=xl/sharedStrings.xml><?xml version="1.0" encoding="utf-8"?>
<sst xmlns="http://schemas.openxmlformats.org/spreadsheetml/2006/main" count="7" uniqueCount="7">
  <si>
    <t>CRVT</t>
  </si>
  <si>
    <t>RoC</t>
  </si>
  <si>
    <t>OADX</t>
  </si>
  <si>
    <t>OADY</t>
  </si>
  <si>
    <t>OADR</t>
  </si>
  <si>
    <t>EFL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</si>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</sst>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F1C2-C638-4962-914E-9848C2935DB7}">
  <dimension ref="A1:AY54"/>
  <sheetViews>
    <sheetView tabSelected="1" workbookViewId="0">
      <selection sqref="A1:G46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51" x14ac:dyDescent="0.25">
      <c r="A2" s="1">
        <v>-2.920336449531E-3</v>
      </c>
      <c r="B2" s="1">
        <f>1/A2</f>
        <v>-342.4262982303282</v>
      </c>
      <c r="C2" s="1">
        <f>B2/2</f>
        <v>-171.2131491151641</v>
      </c>
      <c r="D2" s="1">
        <v>29.136282434120002</v>
      </c>
      <c r="E2" s="1">
        <v>-3.5929058315269999E-5</v>
      </c>
      <c r="F2">
        <f>SQRT(D2^2+E2^2)</f>
        <v>29.136282434142153</v>
      </c>
      <c r="G2" s="1">
        <f>C2*(1 +(F2/(2*C2))^2)</f>
        <v>-172.45271943798883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51" x14ac:dyDescent="0.25">
      <c r="A3" s="1">
        <v>-2.9227785087339998E-3</v>
      </c>
      <c r="B3" s="1">
        <f>1/A3</f>
        <v>-342.14019194808901</v>
      </c>
      <c r="C3" s="1">
        <f>B3/2</f>
        <v>-171.07009597404451</v>
      </c>
      <c r="D3" s="1">
        <v>27.8056915813</v>
      </c>
      <c r="E3" s="1">
        <v>-1.0816419013059999</v>
      </c>
      <c r="F3">
        <f>SQRT(D3^2+E3^2)</f>
        <v>27.82672157328345</v>
      </c>
      <c r="G3" s="1">
        <f>C3*(1 +(F3/(2*C3))^2)</f>
        <v>-172.20168830335865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51" x14ac:dyDescent="0.25">
      <c r="A4" s="1">
        <v>-2.9249962411690002E-3</v>
      </c>
      <c r="B4" s="1">
        <f>1/A4</f>
        <v>-341.88078122122351</v>
      </c>
      <c r="C4" s="1">
        <f>B4/2</f>
        <v>-170.94039061061176</v>
      </c>
      <c r="D4" s="1">
        <v>26.476005745070001</v>
      </c>
      <c r="E4" s="1">
        <v>-2.1627902329430002</v>
      </c>
      <c r="F4">
        <f>SQRT(D4^2+E4^2)</f>
        <v>26.564196615081237</v>
      </c>
      <c r="G4" s="1">
        <f>C4*(1 +(F4/(2*C4))^2)</f>
        <v>-171.97241197677928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51" x14ac:dyDescent="0.25">
      <c r="A5" s="1">
        <v>-2.9269870204010002E-3</v>
      </c>
      <c r="B5" s="1">
        <f>1/A5</f>
        <v>-341.64825229153183</v>
      </c>
      <c r="C5" s="1">
        <f>B5/2</f>
        <v>-170.82412614576592</v>
      </c>
      <c r="D5" s="1">
        <v>25.147183277420002</v>
      </c>
      <c r="E5" s="1">
        <v>-3.2435199241150001</v>
      </c>
      <c r="F5">
        <f>SQRT(D5^2+E5^2)</f>
        <v>25.35549739772981</v>
      </c>
      <c r="G5" s="1">
        <f>C5*(1 +(F5/(2*C5))^2)</f>
        <v>-171.76500795033269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>
        <v>-2.9287487025840002E-3</v>
      </c>
      <c r="B6" s="1">
        <f>1/A6</f>
        <v>-341.44274622049744</v>
      </c>
      <c r="C6" s="1">
        <f>B6/2</f>
        <v>-170.72137311024872</v>
      </c>
      <c r="D6" s="1">
        <v>23.81917997871</v>
      </c>
      <c r="E6" s="1">
        <v>-4.3238706758800003</v>
      </c>
      <c r="F6">
        <f>SQRT(D6^2+E6^2)</f>
        <v>24.208452913805012</v>
      </c>
      <c r="G6" s="1">
        <f>C6*(1 +(F6/(2*C6))^2)</f>
        <v>-171.57956851631167</v>
      </c>
    </row>
    <row r="7" spans="1:51" x14ac:dyDescent="0.25">
      <c r="A7" s="1">
        <v>-2.930279636394E-3</v>
      </c>
      <c r="B7" s="1">
        <f>1/A7</f>
        <v>-341.26435838410265</v>
      </c>
      <c r="C7" s="1">
        <f>B7/2</f>
        <v>-170.63217919205132</v>
      </c>
      <c r="D7" s="1">
        <v>22.49195083587</v>
      </c>
      <c r="E7" s="1">
        <v>-5.403882828874</v>
      </c>
      <c r="F7">
        <f>SQRT(D7^2+E7^2)</f>
        <v>23.132008171176846</v>
      </c>
      <c r="G7" s="1">
        <f>C7*(1 +(F7/(2*C7))^2)</f>
        <v>-171.41616056731866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51" x14ac:dyDescent="0.25">
      <c r="A8" s="1">
        <v>-2.9315782612659999E-3</v>
      </c>
      <c r="B8" s="1">
        <f>1/A8</f>
        <v>-341.11318575822389</v>
      </c>
      <c r="C8" s="1">
        <f>B8/2</f>
        <v>-170.55659287911195</v>
      </c>
      <c r="D8" s="1">
        <v>21.16545016041</v>
      </c>
      <c r="E8" s="1">
        <v>-6.4835974105840002</v>
      </c>
      <c r="F8">
        <f>SQRT(D8^2+E8^2)</f>
        <v>22.136244394100171</v>
      </c>
      <c r="G8" s="1">
        <f>C8*(1 +(F8/(2*C8))^2)</f>
        <v>-171.27484907138742</v>
      </c>
    </row>
    <row r="9" spans="1:51" x14ac:dyDescent="0.25">
      <c r="A9" s="1">
        <v>-2.9326436393910002E-3</v>
      </c>
      <c r="B9" s="1">
        <f>1/A9</f>
        <v>-340.98926530591439</v>
      </c>
      <c r="C9" s="1">
        <f>B9/2</f>
        <v>-170.49463265295719</v>
      </c>
      <c r="D9" s="1">
        <v>19.839630215100001</v>
      </c>
      <c r="E9" s="1">
        <v>-7.5630555283590004</v>
      </c>
      <c r="F9">
        <f>SQRT(D9^2+E9^2)</f>
        <v>21.232304067080204</v>
      </c>
      <c r="G9" s="1">
        <f>C9*(1 +(F9/(2*C9))^2)</f>
        <v>-171.1556662717025</v>
      </c>
    </row>
    <row r="10" spans="1:51" x14ac:dyDescent="0.25">
      <c r="A10" s="1">
        <v>-2.9334741443510001E-3</v>
      </c>
      <c r="B10" s="1">
        <f>1/A10</f>
        <v>-340.89272677780474</v>
      </c>
      <c r="C10" s="1">
        <f>B10/2</f>
        <v>-170.44636338890237</v>
      </c>
      <c r="D10" s="1">
        <v>18.51444378771</v>
      </c>
      <c r="E10" s="1">
        <v>-8.6422995598549903</v>
      </c>
      <c r="F10">
        <f>SQRT(D10^2+E10^2)</f>
        <v>20.432179777266622</v>
      </c>
      <c r="G10" s="1">
        <f>C10*(1 +(F10/(2*C10))^2)</f>
        <v>-171.05868793803049</v>
      </c>
    </row>
    <row r="11" spans="1:51" x14ac:dyDescent="0.25">
      <c r="A11" s="1">
        <v>-2.9340696109049999E-3</v>
      </c>
      <c r="B11" s="1">
        <f>1/A11</f>
        <v>-340.82354293276455</v>
      </c>
      <c r="C11" s="1">
        <f>B11/2</f>
        <v>-170.41177146638228</v>
      </c>
      <c r="D11" s="1">
        <v>17.189841730209999</v>
      </c>
      <c r="E11" s="1">
        <v>-9.7213719184920002</v>
      </c>
      <c r="F11">
        <f>SQRT(D11^2+E11^2)</f>
        <v>19.748309565309988</v>
      </c>
      <c r="G11" s="1">
        <f>C11*(1 +(F11/(2*C11))^2)</f>
        <v>-170.98390877727843</v>
      </c>
    </row>
    <row r="12" spans="1:51" x14ac:dyDescent="0.25">
      <c r="A12" s="1">
        <v>-2.934428791923E-3</v>
      </c>
      <c r="B12" s="1">
        <f>1/A12</f>
        <v>-340.78182532576523</v>
      </c>
      <c r="C12" s="1">
        <f>B12/2</f>
        <v>-170.39091266288261</v>
      </c>
      <c r="D12" s="1">
        <v>15.865774634659999</v>
      </c>
      <c r="E12" s="1">
        <v>-10.80031471435</v>
      </c>
      <c r="F12">
        <f>SQRT(D12^2+E12^2)</f>
        <v>19.192957111576781</v>
      </c>
      <c r="G12" s="1">
        <f>C12*(1 +(F12/(2*C12))^2)</f>
        <v>-170.93138984697933</v>
      </c>
    </row>
    <row r="13" spans="1:51" x14ac:dyDescent="0.25">
      <c r="A13" s="1">
        <v>-2.9345517375879999E-3</v>
      </c>
      <c r="B13" s="1">
        <f>1/A13</f>
        <v>-340.76754796694479</v>
      </c>
      <c r="C13" s="1">
        <f>B13/2</f>
        <v>-170.38377398347239</v>
      </c>
      <c r="D13" s="1">
        <v>14.54219250697</v>
      </c>
      <c r="E13" s="1">
        <v>-11.879171148979999</v>
      </c>
      <c r="F13">
        <f>SQRT(D13^2+E13^2)</f>
        <v>18.777381875451468</v>
      </c>
      <c r="G13" s="1">
        <f>C13*(1 +(F13/(2*C13))^2)</f>
        <v>-170.90112088490142</v>
      </c>
    </row>
    <row r="14" spans="1:51" x14ac:dyDescent="0.25">
      <c r="A14" s="1">
        <v>-2.9344379760319998E-3</v>
      </c>
      <c r="B14" s="1">
        <f>1/A14</f>
        <v>-340.78075875783821</v>
      </c>
      <c r="C14" s="1">
        <f>B14/2</f>
        <v>-170.39037937891911</v>
      </c>
      <c r="D14" s="1">
        <v>13.219043861879999</v>
      </c>
      <c r="E14" s="1">
        <v>-12.9579836551</v>
      </c>
      <c r="F14">
        <f>SQRT(D14^2+E14^2)</f>
        <v>18.510874129228636</v>
      </c>
      <c r="G14" s="1">
        <f>C14*(1 +(F14/(2*C14))^2)</f>
        <v>-170.89312557603003</v>
      </c>
    </row>
    <row r="15" spans="1:51" x14ac:dyDescent="0.25">
      <c r="A15" s="1">
        <v>-2.9340877867239999E-3</v>
      </c>
      <c r="B15" s="1">
        <f>1/A15</f>
        <v>-340.82143163021414</v>
      </c>
      <c r="C15" s="1">
        <f>B15/2</f>
        <v>-170.41071581510707</v>
      </c>
      <c r="D15" s="1">
        <v>11.89627803107</v>
      </c>
      <c r="E15" s="1">
        <v>-14.036796143869999</v>
      </c>
      <c r="F15">
        <f>SQRT(D15^2+E15^2)</f>
        <v>18.399811873415512</v>
      </c>
      <c r="G15" s="1">
        <f>C15*(1 +(F15/(2*C15))^2)</f>
        <v>-170.90738803926521</v>
      </c>
    </row>
    <row r="16" spans="1:51" x14ac:dyDescent="0.25">
      <c r="A16" s="1">
        <v>-2.9335011367529998E-3</v>
      </c>
      <c r="B16" s="1">
        <f>1/A16</f>
        <v>-340.88959007763282</v>
      </c>
      <c r="C16" s="1">
        <f>B16/2</f>
        <v>-170.44479503881641</v>
      </c>
      <c r="D16" s="1">
        <v>10.573842956189999</v>
      </c>
      <c r="E16" s="1">
        <v>-15.115651064230001</v>
      </c>
      <c r="F16">
        <f>SQRT(D16^2+E16^2)</f>
        <v>18.446925542152719</v>
      </c>
      <c r="G16" s="1">
        <f>C16*(1 +(F16/(2*C16))^2)</f>
        <v>-170.94391421385518</v>
      </c>
    </row>
    <row r="17" spans="1:7" x14ac:dyDescent="0.25">
      <c r="A17" s="1">
        <v>-2.9326781965340002E-3</v>
      </c>
      <c r="B17" s="1">
        <f>1/A17</f>
        <v>-340.98524726710718</v>
      </c>
      <c r="C17" s="1">
        <f>B17/2</f>
        <v>-170.49262363355359</v>
      </c>
      <c r="D17" s="1">
        <v>9.2516856637519904</v>
      </c>
      <c r="E17" s="1">
        <v>-16.19459290979</v>
      </c>
      <c r="F17">
        <f>SQRT(D17^2+E17^2)</f>
        <v>18.650965849914975</v>
      </c>
      <c r="G17" s="1">
        <f>C17*(1 +(F17/(2*C17))^2)</f>
        <v>-171.00270219255677</v>
      </c>
    </row>
    <row r="18" spans="1:7" x14ac:dyDescent="0.25">
      <c r="A18" s="1">
        <v>-2.9316229198799999E-3</v>
      </c>
      <c r="B18" s="1">
        <f>1/A18</f>
        <v>-341.10798944119762</v>
      </c>
      <c r="C18" s="1">
        <f>B18/2</f>
        <v>-170.55399472059881</v>
      </c>
      <c r="D18" s="1">
        <v>7.9297559511219999</v>
      </c>
      <c r="E18" s="1">
        <v>-17.273658359239999</v>
      </c>
      <c r="F18">
        <f>SQRT(D18^2+E18^2)</f>
        <v>19.006848832883811</v>
      </c>
      <c r="G18" s="1">
        <f>C18*(1 +(F18/(2*C18))^2)</f>
        <v>-171.08353421210694</v>
      </c>
    </row>
    <row r="19" spans="1:7" x14ac:dyDescent="0.25">
      <c r="A19" s="1">
        <v>-2.930332484603E-3</v>
      </c>
      <c r="B19" s="1">
        <f>1/A19</f>
        <v>-341.25820372068785</v>
      </c>
      <c r="C19" s="1">
        <f>B19/2</f>
        <v>-170.62910186034392</v>
      </c>
      <c r="D19" s="1">
        <v>6.6080001063629998</v>
      </c>
      <c r="E19" s="1">
        <v>-18.352897211519998</v>
      </c>
      <c r="F19">
        <f>SQRT(D19^2+E19^2)</f>
        <v>19.506268260800475</v>
      </c>
      <c r="G19" s="1">
        <f>C19*(1 +(F19/(2*C19))^2)</f>
        <v>-171.18658955926784</v>
      </c>
    </row>
    <row r="20" spans="1:7" x14ac:dyDescent="0.25">
      <c r="A20" s="1">
        <v>-2.9288092891520002E-3</v>
      </c>
      <c r="B20" s="1">
        <f>1/A20</f>
        <v>-341.43568299373203</v>
      </c>
      <c r="C20" s="1">
        <f>B20/2</f>
        <v>-170.71784149686601</v>
      </c>
      <c r="D20" s="1">
        <v>5.2863659397460001</v>
      </c>
      <c r="E20" s="1">
        <v>-19.43234875624</v>
      </c>
      <c r="F20">
        <f>SQRT(D20^2+E20^2)</f>
        <v>20.138566061987852</v>
      </c>
      <c r="G20" s="1">
        <f>C20*(1 +(F20/(2*C20))^2)</f>
        <v>-171.31174814346639</v>
      </c>
    </row>
    <row r="21" spans="1:7" x14ac:dyDescent="0.25">
      <c r="A21" s="1">
        <v>-2.927054785012E-3</v>
      </c>
      <c r="B21" s="1">
        <f>1/A21</f>
        <v>-341.64034275016149</v>
      </c>
      <c r="C21" s="1">
        <f>B21/2</f>
        <v>-170.82017137508075</v>
      </c>
      <c r="D21" s="1">
        <v>3.9648014556529998</v>
      </c>
      <c r="E21" s="1">
        <v>-20.512055646899999</v>
      </c>
      <c r="F21">
        <f>SQRT(D21^2+E21^2)</f>
        <v>20.891722701689066</v>
      </c>
      <c r="G21" s="1">
        <f>C21*(1 +(F21/(2*C21))^2)</f>
        <v>-171.45894850826531</v>
      </c>
    </row>
    <row r="22" spans="1:7" x14ac:dyDescent="0.25">
      <c r="A22" s="1">
        <v>-2.9250706802700002E-3</v>
      </c>
      <c r="B22" s="1">
        <f>1/A22</f>
        <v>-341.87208081675976</v>
      </c>
      <c r="C22" s="1">
        <f>B22/2</f>
        <v>-170.93604040837988</v>
      </c>
      <c r="D22" s="1">
        <v>2.6432541091089998</v>
      </c>
      <c r="E22" s="1">
        <v>-21.592058410829999</v>
      </c>
      <c r="F22">
        <f>SQRT(D22^2+E22^2)</f>
        <v>21.753247543804029</v>
      </c>
      <c r="G22" s="1">
        <f>C22*(1 +(F22/(2*C22))^2)</f>
        <v>-171.628117657817</v>
      </c>
    </row>
    <row r="23" spans="1:7" x14ac:dyDescent="0.25">
      <c r="A23" s="1">
        <v>-2.922858946222E-3</v>
      </c>
      <c r="B23" s="1">
        <f>1/A23</f>
        <v>-342.13077620203671</v>
      </c>
      <c r="C23" s="1">
        <f>B23/2</f>
        <v>-171.06538810101836</v>
      </c>
      <c r="D23" s="1">
        <v>1.3216721441920001</v>
      </c>
      <c r="E23" s="1">
        <v>-22.6723983907</v>
      </c>
      <c r="F23">
        <f>SQRT(D23^2+E23^2)</f>
        <v>22.710888710998276</v>
      </c>
      <c r="G23" s="1">
        <f>C23*(1 +(F23/(2*C23))^2)</f>
        <v>-171.81917072146692</v>
      </c>
    </row>
    <row r="24" spans="1:7" x14ac:dyDescent="0.25">
      <c r="A24" s="1">
        <v>-2.920421740683E-3</v>
      </c>
      <c r="B24" s="1">
        <f>1/A24</f>
        <v>-342.41629764272665</v>
      </c>
      <c r="C24" s="1">
        <f>B24/2</f>
        <v>-171.20814882136332</v>
      </c>
      <c r="D24" s="1">
        <v>3.9770975514420001E-6</v>
      </c>
      <c r="E24" s="1">
        <v>-23.753114842790001</v>
      </c>
      <c r="F24">
        <f>SQRT(D24^2+E24^2)</f>
        <v>23.753114842790335</v>
      </c>
      <c r="G24" s="1">
        <f>C24*(1 +(F24/(2*C24))^2)</f>
        <v>-172.03201507512946</v>
      </c>
    </row>
    <row r="25" spans="1:7" x14ac:dyDescent="0.25">
      <c r="A25" s="1">
        <v>-2.9177610158389999E-3</v>
      </c>
      <c r="B25" s="1">
        <f>1/A25</f>
        <v>-342.72854924427412</v>
      </c>
      <c r="C25" s="1">
        <f>B25/2</f>
        <v>-171.36427462213706</v>
      </c>
      <c r="D25" s="1">
        <v>-1.321801569207</v>
      </c>
      <c r="E25" s="1">
        <v>-24.83424810791</v>
      </c>
      <c r="F25">
        <f>SQRT(D25^2+E25^2)</f>
        <v>24.869399640393201</v>
      </c>
      <c r="G25" s="1">
        <f>C25*(1 +(F25/(2*C25))^2)</f>
        <v>-172.26657330696705</v>
      </c>
    </row>
    <row r="26" spans="1:7" x14ac:dyDescent="0.25">
      <c r="A26" s="1">
        <v>-2.9148794432390002E-3</v>
      </c>
      <c r="B26" s="1">
        <f>1/A26</f>
        <v>-343.06736160889204</v>
      </c>
      <c r="C26" s="1">
        <f>B26/2</f>
        <v>-171.53368080444602</v>
      </c>
      <c r="D26" s="1">
        <v>-2.6437950431289998</v>
      </c>
      <c r="E26" s="1">
        <v>-25.91583706922</v>
      </c>
      <c r="F26">
        <f>SQRT(D26^2+E26^2)</f>
        <v>26.050340942652383</v>
      </c>
      <c r="G26" s="1">
        <f>C26*(1 +(F26/(2*C26))^2)</f>
        <v>-172.52272893197102</v>
      </c>
    </row>
    <row r="27" spans="1:7" x14ac:dyDescent="0.25">
      <c r="A27" s="1">
        <v>-2.9117796652639999E-3</v>
      </c>
      <c r="B27" s="1">
        <f>1/A27</f>
        <v>-343.43257902700333</v>
      </c>
      <c r="C27" s="1">
        <f>B27/2</f>
        <v>-171.71628951350166</v>
      </c>
      <c r="D27" s="1">
        <v>-3.9660263492549999</v>
      </c>
      <c r="E27" s="1">
        <v>-26.997919056890002</v>
      </c>
      <c r="F27">
        <f>SQRT(D27^2+E27^2)</f>
        <v>27.287671179588948</v>
      </c>
      <c r="G27" s="1">
        <f>C27*(1 +(F27/(2*C27))^2)</f>
        <v>-172.80036983068501</v>
      </c>
    </row>
    <row r="28" spans="1:7" x14ac:dyDescent="0.25">
      <c r="A28" s="1">
        <v>-2.908464418898E-3</v>
      </c>
      <c r="B28" s="1">
        <f>1/A28</f>
        <v>-343.82404457225374</v>
      </c>
      <c r="C28" s="1">
        <f>B28/2</f>
        <v>-171.91202228612687</v>
      </c>
      <c r="D28" s="1">
        <v>-5.2885449236850004</v>
      </c>
      <c r="E28" s="1">
        <v>-28.080532197530001</v>
      </c>
      <c r="F28">
        <f>SQRT(D28^2+E28^2)</f>
        <v>28.574201579507928</v>
      </c>
      <c r="G28" s="1">
        <f>C28*(1 +(F28/(2*C28))^2)</f>
        <v>-173.0993810657057</v>
      </c>
    </row>
    <row r="29" spans="1:7" x14ac:dyDescent="0.25">
      <c r="A29" s="1">
        <v>-2.9049368775580001E-3</v>
      </c>
      <c r="B29" s="1">
        <f>1/A29</f>
        <v>-344.24155916277186</v>
      </c>
      <c r="C29" s="1">
        <f>B29/2</f>
        <v>-172.12077958138593</v>
      </c>
      <c r="D29" s="1">
        <v>-6.6113991242269998</v>
      </c>
      <c r="E29" s="1">
        <v>-29.163711522890001</v>
      </c>
      <c r="F29">
        <f>SQRT(D29^2+E29^2)</f>
        <v>29.90372331617213</v>
      </c>
      <c r="G29" s="1">
        <f>C29*(1 +(F29/(2*C29))^2)</f>
        <v>-173.41962430882825</v>
      </c>
    </row>
    <row r="30" spans="1:7" x14ac:dyDescent="0.25">
      <c r="A30" s="1">
        <v>-2.9011998617950001E-3</v>
      </c>
      <c r="B30" s="1">
        <f>1/A30</f>
        <v>-344.68497436825686</v>
      </c>
      <c r="C30" s="1">
        <f>B30/2</f>
        <v>-172.34248718412843</v>
      </c>
      <c r="D30" s="1">
        <v>-7.9346369716240002</v>
      </c>
      <c r="E30" s="1">
        <v>-30.247493936529999</v>
      </c>
      <c r="F30">
        <f>SQRT(D30^2+E30^2)</f>
        <v>31.27090266224948</v>
      </c>
      <c r="G30" s="1">
        <f>C30*(1 +(F30/(2*C30))^2)</f>
        <v>-173.76098440046943</v>
      </c>
    </row>
    <row r="31" spans="1:7" x14ac:dyDescent="0.25">
      <c r="A31" s="1">
        <v>-2.8972571160009999E-3</v>
      </c>
      <c r="B31" s="1">
        <f>1/A31</f>
        <v>-345.15404051548973</v>
      </c>
      <c r="C31" s="1">
        <f>B31/2</f>
        <v>-172.57702025774486</v>
      </c>
      <c r="D31" s="1">
        <v>-9.2583049487389903</v>
      </c>
      <c r="E31" s="1">
        <v>-31.331912213300001</v>
      </c>
      <c r="F31">
        <f>SQRT(D31^2+E31^2)</f>
        <v>32.671163638073601</v>
      </c>
      <c r="G31" s="1">
        <f>C31*(1 +(F31/(2*C31))^2)</f>
        <v>-174.12329352731402</v>
      </c>
    </row>
    <row r="32" spans="1:7" x14ac:dyDescent="0.25">
      <c r="A32" s="1">
        <v>-2.893111635288E-3</v>
      </c>
      <c r="B32" s="1">
        <f>1/A32</f>
        <v>-345.64860470738563</v>
      </c>
      <c r="C32" s="1">
        <f>B32/2</f>
        <v>-172.82430235369281</v>
      </c>
      <c r="D32" s="1">
        <v>-10.582448556139999</v>
      </c>
      <c r="E32" s="1">
        <v>-32.416999823349997</v>
      </c>
      <c r="F32">
        <f>SQRT(D32^2+E32^2)</f>
        <v>34.100587898017586</v>
      </c>
      <c r="G32" s="1">
        <f>C32*(1 +(F32/(2*C32))^2)</f>
        <v>-174.50642992364908</v>
      </c>
    </row>
    <row r="33" spans="1:7" x14ac:dyDescent="0.25">
      <c r="A33" s="1">
        <v>-2.8887674450239998E-3</v>
      </c>
      <c r="B33" s="1">
        <f>1/A33</f>
        <v>-346.16839847130444</v>
      </c>
      <c r="C33" s="1">
        <f>B33/2</f>
        <v>-173.08419923565222</v>
      </c>
      <c r="D33" s="1">
        <v>-11.90711343467</v>
      </c>
      <c r="E33" s="1">
        <v>-33.502790071249997</v>
      </c>
      <c r="F33">
        <f>SQRT(D33^2+E33^2)</f>
        <v>35.555819395766235</v>
      </c>
      <c r="G33" s="1">
        <f>C33*(1 +(F33/(2*C33))^2)</f>
        <v>-174.91021267085773</v>
      </c>
    </row>
    <row r="34" spans="1:7" x14ac:dyDescent="0.25">
      <c r="A34" s="1">
        <v>-2.8842281782920001E-3</v>
      </c>
      <c r="B34" s="1">
        <f>1/A34</f>
        <v>-346.71320650926657</v>
      </c>
      <c r="C34" s="1">
        <f>B34/2</f>
        <v>-173.35660325463328</v>
      </c>
      <c r="D34" s="1">
        <v>-13.2323422273</v>
      </c>
      <c r="E34" s="1">
        <v>-34.58931242557</v>
      </c>
      <c r="F34">
        <f>SQRT(D34^2+E34^2)</f>
        <v>37.033976493135029</v>
      </c>
      <c r="G34" s="1">
        <f>C34*(1 +(F34/(2*C34))^2)</f>
        <v>-175.33448495793294</v>
      </c>
    </row>
    <row r="35" spans="1:7" x14ac:dyDescent="0.25">
      <c r="A35" s="1">
        <v>-2.87949744511E-3</v>
      </c>
      <c r="B35" s="1">
        <f>1/A35</f>
        <v>-347.28282245855542</v>
      </c>
      <c r="C35" s="1">
        <f>B35/2</f>
        <v>-173.64141122927771</v>
      </c>
      <c r="D35" s="1">
        <v>-14.55817822613</v>
      </c>
      <c r="E35" s="1">
        <v>-35.676597676420002</v>
      </c>
      <c r="F35">
        <f>SQRT(D35^2+E35^2)</f>
        <v>38.532585885570967</v>
      </c>
      <c r="G35" s="1">
        <f>C35*(1 +(F35/(2*C35))^2)</f>
        <v>-175.77909279457609</v>
      </c>
    </row>
    <row r="36" spans="1:7" x14ac:dyDescent="0.25">
      <c r="A36" s="1">
        <v>-2.8745795245310002E-3</v>
      </c>
      <c r="B36" s="1">
        <f>1/A36</f>
        <v>-347.87696477562372</v>
      </c>
      <c r="C36" s="1">
        <f>B36/2</f>
        <v>-173.93848238781186</v>
      </c>
      <c r="D36" s="1">
        <v>-15.88466232957</v>
      </c>
      <c r="E36" s="1">
        <v>-36.764674548329999</v>
      </c>
      <c r="F36">
        <f>SQRT(D36^2+E36^2)</f>
        <v>40.049516750755984</v>
      </c>
      <c r="G36" s="1">
        <f>C36*(1 +(F36/(2*C36))^2)</f>
        <v>-176.24384312505359</v>
      </c>
    </row>
    <row r="37" spans="1:7" x14ac:dyDescent="0.25">
      <c r="A37" s="1">
        <v>-2.869478092E-3</v>
      </c>
      <c r="B37" s="1">
        <f>1/A37</f>
        <v>-348.49542946083591</v>
      </c>
      <c r="C37" s="1">
        <f>B37/2</f>
        <v>-174.24771473041795</v>
      </c>
      <c r="D37" s="1">
        <v>-17.21183511968</v>
      </c>
      <c r="E37" s="1">
        <v>-37.853571182099998</v>
      </c>
      <c r="F37">
        <f>SQRT(D37^2+E37^2)</f>
        <v>41.582930625743074</v>
      </c>
      <c r="G37" s="1">
        <f>C37*(1 +(F37/(2*C37))^2)</f>
        <v>-176.72857957576261</v>
      </c>
    </row>
    <row r="38" spans="1:7" x14ac:dyDescent="0.25">
      <c r="A38" s="1">
        <v>-2.8641979624050001E-3</v>
      </c>
      <c r="B38" s="1">
        <f>1/A38</f>
        <v>-349.13787843083423</v>
      </c>
      <c r="C38" s="1">
        <f>B38/2</f>
        <v>-174.56893921541712</v>
      </c>
      <c r="D38" s="1">
        <v>-18.539734888200002</v>
      </c>
      <c r="E38" s="1">
        <v>-38.943313096739999</v>
      </c>
      <c r="F38">
        <f>SQRT(D38^2+E38^2)</f>
        <v>43.131234675991614</v>
      </c>
      <c r="G38" s="1">
        <f>C38*(1 +(F38/(2*C38))^2)</f>
        <v>-177.23307782598039</v>
      </c>
    </row>
    <row r="39" spans="1:7" x14ac:dyDescent="0.25">
      <c r="A39" s="1">
        <v>-2.8587421796100001E-3</v>
      </c>
      <c r="B39" s="1">
        <f>1/A39</f>
        <v>-349.80419260348395</v>
      </c>
      <c r="C39" s="1">
        <f>B39/2</f>
        <v>-174.90209630174198</v>
      </c>
      <c r="D39" s="1">
        <v>-19.868399459399999</v>
      </c>
      <c r="E39" s="1">
        <v>-40.033925686929997</v>
      </c>
      <c r="F39">
        <f>SQRT(D39^2+E39^2)</f>
        <v>44.693047591151348</v>
      </c>
      <c r="G39" s="1">
        <f>C39*(1 +(F39/(2*C39))^2)</f>
        <v>-177.75722003270468</v>
      </c>
    </row>
    <row r="40" spans="1:7" x14ac:dyDescent="0.25">
      <c r="A40" s="1">
        <v>-2.8531163743809999E-3</v>
      </c>
      <c r="B40" s="1">
        <f>1/A40</f>
        <v>-350.49394023296924</v>
      </c>
      <c r="C40" s="1">
        <f>B40/2</f>
        <v>-175.24697011648462</v>
      </c>
      <c r="D40" s="1">
        <v>-21.197864787419999</v>
      </c>
      <c r="E40" s="1">
        <v>-41.125432744100003</v>
      </c>
      <c r="F40">
        <f>SQRT(D40^2+E40^2)</f>
        <v>46.267166435121496</v>
      </c>
      <c r="G40" s="1">
        <f>C40*(1 +(F40/(2*C40))^2)</f>
        <v>-178.30073288412672</v>
      </c>
    </row>
    <row r="41" spans="1:7" x14ac:dyDescent="0.25">
      <c r="A41" s="1">
        <v>-2.8473242323910001E-3</v>
      </c>
      <c r="B41" s="1">
        <f>1/A41</f>
        <v>-351.20692916670896</v>
      </c>
      <c r="C41" s="1">
        <f>B41/2</f>
        <v>-175.60346458335448</v>
      </c>
      <c r="D41" s="1">
        <v>-22.52816643081</v>
      </c>
      <c r="E41" s="1">
        <v>-42.217858309729998</v>
      </c>
      <c r="F41">
        <f>SQRT(D41^2+E41^2)</f>
        <v>47.85254270145645</v>
      </c>
      <c r="G41" s="1">
        <f>C41*(1 +(F41/(2*C41))^2)</f>
        <v>-178.86345983519612</v>
      </c>
    </row>
    <row r="42" spans="1:7" x14ac:dyDescent="0.25">
      <c r="A42" s="1">
        <v>-2.8413699782499999E-3</v>
      </c>
      <c r="B42" s="1">
        <f>1/A42</f>
        <v>-351.94290347781464</v>
      </c>
      <c r="C42" s="1">
        <f>B42/2</f>
        <v>-175.97145173890732</v>
      </c>
      <c r="D42" s="1">
        <v>-23.859337333980001</v>
      </c>
      <c r="E42" s="1">
        <v>-43.311223399349998</v>
      </c>
      <c r="F42">
        <f>SQRT(D42^2+E42^2)</f>
        <v>49.448256292462474</v>
      </c>
      <c r="G42" s="1">
        <f>C42*(1 +(F42/(2*C42))^2)</f>
        <v>-179.44521129791943</v>
      </c>
    </row>
    <row r="43" spans="1:7" x14ac:dyDescent="0.25">
      <c r="A43" s="1">
        <v>-2.835258427225E-3</v>
      </c>
      <c r="B43" s="1">
        <f>1/A43</f>
        <v>-352.70153521023013</v>
      </c>
      <c r="C43" s="1">
        <f>B43/2</f>
        <v>-176.35076760511507</v>
      </c>
      <c r="D43" s="1">
        <v>-25.191410702359999</v>
      </c>
      <c r="E43" s="1">
        <v>-44.405549110979997</v>
      </c>
      <c r="F43">
        <f>SQRT(D43^2+E43^2)</f>
        <v>51.053501006518978</v>
      </c>
      <c r="G43" s="1">
        <f>C43*(1 +(F43/(2*C43))^2)</f>
        <v>-180.04576139564256</v>
      </c>
    </row>
    <row r="44" spans="1:7" x14ac:dyDescent="0.25">
      <c r="A44" s="1">
        <v>-2.8289947375850001E-3</v>
      </c>
      <c r="B44" s="1">
        <f>1/A44</f>
        <v>-353.48245322423617</v>
      </c>
      <c r="C44" s="1">
        <f>B44/2</f>
        <v>-176.74122661211808</v>
      </c>
      <c r="D44" s="1">
        <v>-26.524410550140001</v>
      </c>
      <c r="E44" s="1">
        <v>-45.500843828230003</v>
      </c>
      <c r="F44">
        <f>SQRT(D44^2+E44^2)</f>
        <v>52.667553048469557</v>
      </c>
      <c r="G44" s="1">
        <f>C44*(1 +(F44/(2*C44))^2)</f>
        <v>-180.66486004683586</v>
      </c>
    </row>
    <row r="45" spans="1:7" x14ac:dyDescent="0.25">
      <c r="A45" s="1">
        <v>-2.8225811873150001E-3</v>
      </c>
      <c r="B45" s="1">
        <f>1/A45</f>
        <v>-354.28564623547885</v>
      </c>
      <c r="C45" s="1">
        <f>B45/2</f>
        <v>-177.14282311773943</v>
      </c>
      <c r="D45" s="1">
        <v>-27.858383333710002</v>
      </c>
      <c r="E45" s="1">
        <v>-46.597155128700003</v>
      </c>
      <c r="F45">
        <f>SQRT(D45^2+E45^2)</f>
        <v>54.289818456650458</v>
      </c>
      <c r="G45" s="1">
        <f>C45*(1 +(F45/(2*C45))^2)</f>
        <v>-181.30243898049594</v>
      </c>
    </row>
    <row r="46" spans="1:7" x14ac:dyDescent="0.25">
      <c r="A46" s="1">
        <v>-2.8160250284499999E-3</v>
      </c>
      <c r="B46" s="1">
        <f>1/A46</f>
        <v>-355.11048016161322</v>
      </c>
      <c r="C46" s="1">
        <f>B46/2</f>
        <v>-177.55524008080661</v>
      </c>
      <c r="D46" s="1">
        <v>-29.19333528772</v>
      </c>
      <c r="E46" s="1">
        <v>-47.694461954970002</v>
      </c>
      <c r="F46">
        <f>SQRT(D46^2+E46^2)</f>
        <v>55.919697123601438</v>
      </c>
      <c r="G46" s="1">
        <f>C46*(1 +(F46/(2*C46))^2)</f>
        <v>-181.95811285010953</v>
      </c>
    </row>
    <row r="47" spans="1:7" x14ac:dyDescent="0.25">
      <c r="A47" s="1">
        <v>-2.8587421796100001E-3</v>
      </c>
      <c r="B47" s="1">
        <f>1/A47</f>
        <v>-349.80419260348395</v>
      </c>
      <c r="C47" s="1">
        <f>B47/2</f>
        <v>-174.90209630174198</v>
      </c>
      <c r="D47" s="1">
        <v>-19.868399459399999</v>
      </c>
      <c r="E47" s="1">
        <v>-40.033925686929997</v>
      </c>
      <c r="F47">
        <f>SQRT(D47^2+E47^2)</f>
        <v>44.693047591151348</v>
      </c>
      <c r="G47" s="1">
        <f>C47*(1 +(F47/(2*C47))^2)</f>
        <v>-177.75722003270468</v>
      </c>
    </row>
    <row r="48" spans="1:7" x14ac:dyDescent="0.25">
      <c r="A48" s="1">
        <v>-2.8531163743809999E-3</v>
      </c>
      <c r="B48" s="1">
        <f>1/A48</f>
        <v>-350.49394023296924</v>
      </c>
      <c r="C48" s="1">
        <f>B48/2</f>
        <v>-175.24697011648462</v>
      </c>
      <c r="D48" s="1">
        <v>-21.197864787419999</v>
      </c>
      <c r="E48" s="1">
        <v>-41.125432744100003</v>
      </c>
      <c r="F48">
        <f>SQRT(D48^2+E48^2)</f>
        <v>46.267166435121496</v>
      </c>
      <c r="G48" s="1">
        <f>C48*(1 +(F48/(2*C48))^2)</f>
        <v>-178.30073288412672</v>
      </c>
    </row>
    <row r="49" spans="1:7" x14ac:dyDescent="0.25">
      <c r="A49" s="1">
        <v>-2.8473242323910001E-3</v>
      </c>
      <c r="B49" s="1">
        <f>1/A49</f>
        <v>-351.20692916670896</v>
      </c>
      <c r="C49" s="1">
        <f>B49/2</f>
        <v>-175.60346458335448</v>
      </c>
      <c r="D49" s="1">
        <v>-22.52816643081</v>
      </c>
      <c r="E49" s="1">
        <v>-42.217858309729998</v>
      </c>
      <c r="F49">
        <f>SQRT(D49^2+E49^2)</f>
        <v>47.85254270145645</v>
      </c>
      <c r="G49" s="1">
        <f>C49*(1 +(F49/(2*C49))^2)</f>
        <v>-178.86345983519612</v>
      </c>
    </row>
    <row r="50" spans="1:7" x14ac:dyDescent="0.25">
      <c r="A50" s="1">
        <v>-2.8413699782499999E-3</v>
      </c>
      <c r="B50" s="1">
        <f>1/A50</f>
        <v>-351.94290347781464</v>
      </c>
      <c r="C50" s="1">
        <f>B50/2</f>
        <v>-175.97145173890732</v>
      </c>
      <c r="D50" s="1">
        <v>-23.859337333980001</v>
      </c>
      <c r="E50" s="1">
        <v>-43.311223399349998</v>
      </c>
      <c r="F50">
        <f>SQRT(D50^2+E50^2)</f>
        <v>49.448256292462474</v>
      </c>
      <c r="G50" s="1">
        <f>C50*(1 +(F50/(2*C50))^2)</f>
        <v>-179.44521129791943</v>
      </c>
    </row>
    <row r="51" spans="1:7" x14ac:dyDescent="0.25">
      <c r="A51" s="1">
        <v>-2.835258427225E-3</v>
      </c>
      <c r="B51" s="1">
        <f>1/A51</f>
        <v>-352.70153521023013</v>
      </c>
      <c r="C51" s="1">
        <f>B51/2</f>
        <v>-176.35076760511507</v>
      </c>
      <c r="D51" s="1">
        <v>-25.191410702359999</v>
      </c>
      <c r="E51" s="1">
        <v>-44.405549110979997</v>
      </c>
      <c r="F51">
        <f>SQRT(D51^2+E51^2)</f>
        <v>51.053501006518978</v>
      </c>
      <c r="G51" s="1">
        <f>C51*(1 +(F51/(2*C51))^2)</f>
        <v>-180.04576139564256</v>
      </c>
    </row>
    <row r="52" spans="1:7" x14ac:dyDescent="0.25">
      <c r="A52" s="1">
        <v>-2.8289947375850001E-3</v>
      </c>
      <c r="B52" s="1">
        <f>1/A52</f>
        <v>-353.48245322423617</v>
      </c>
      <c r="C52" s="1">
        <f>B52/2</f>
        <v>-176.74122661211808</v>
      </c>
      <c r="D52" s="1">
        <v>-26.524410550140001</v>
      </c>
      <c r="E52" s="1">
        <v>-45.500843828230003</v>
      </c>
      <c r="F52">
        <f>SQRT(D52^2+E52^2)</f>
        <v>52.667553048469557</v>
      </c>
      <c r="G52" s="1">
        <f>C52*(1 +(F52/(2*C52))^2)</f>
        <v>-180.66486004683586</v>
      </c>
    </row>
    <row r="53" spans="1:7" x14ac:dyDescent="0.25">
      <c r="A53" s="1">
        <v>-2.8225811873150001E-3</v>
      </c>
      <c r="B53" s="1">
        <f>1/A53</f>
        <v>-354.28564623547885</v>
      </c>
      <c r="C53" s="1">
        <f>B53/2</f>
        <v>-177.14282311773943</v>
      </c>
      <c r="D53" s="1">
        <v>-27.858383333710002</v>
      </c>
      <c r="E53" s="1">
        <v>-46.597155128700003</v>
      </c>
      <c r="F53">
        <f>SQRT(D53^2+E53^2)</f>
        <v>54.289818456650458</v>
      </c>
      <c r="G53" s="1">
        <f>C53*(1 +(F53/(2*C53))^2)</f>
        <v>-181.30243898049594</v>
      </c>
    </row>
    <row r="54" spans="1:7" x14ac:dyDescent="0.25">
      <c r="A54" s="1">
        <v>-2.8160250284499999E-3</v>
      </c>
      <c r="B54" s="1">
        <f>1/A54</f>
        <v>-355.11048016161322</v>
      </c>
      <c r="C54" s="1">
        <f>B54/2</f>
        <v>-177.55524008080661</v>
      </c>
      <c r="D54" s="1">
        <v>-29.19333528772</v>
      </c>
      <c r="E54" s="1">
        <v>-47.694461954970002</v>
      </c>
      <c r="F54">
        <f>SQRT(D54^2+E54^2)</f>
        <v>55.919697123601438</v>
      </c>
      <c r="G54" s="1">
        <f>C54*(1 +(F54/(2*C54))^2)</f>
        <v>-181.95811285010953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Griffiths</dc:creator>
  <cp:lastModifiedBy>Ryan Griffiths</cp:lastModifiedBy>
  <dcterms:created xsi:type="dcterms:W3CDTF">2026-09-02T14:46:03Z</dcterms:created>
  <dcterms:modified xsi:type="dcterms:W3CDTF">2026-09-02T15:01:26Z</dcterms:modified>
</cp:coreProperties>
</file>